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tirement Solve" sheetId="2" state="visible" r:id="rId2"/>
    <sheet name="Debt Validation" sheetId="3" state="visible" r:id="rId3"/>
    <sheet name="Investor Analysis" sheetId="4" state="visible" r:id="rId4"/>
    <sheet name="Creative Financing" sheetId="5" state="visible" r:id="rId5"/>
    <sheet name="Deal Criteria" sheetId="6" state="visible" r:id="rId6"/>
    <sheet name="Scenarios" sheetId="7" state="visible" r:id="rId7"/>
    <sheet name="Deci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000%"/>
    <numFmt numFmtId="166" formatCode="0.00&quot;x&quot;"/>
    <numFmt numFmtId="167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0000CC"/>
      <sz val="10"/>
    </font>
    <font>
      <name val="Calibri"/>
      <b val="1"/>
      <color rgb="00006600"/>
      <sz val="10"/>
    </font>
    <font>
      <b val="1"/>
    </font>
    <font>
      <b val="1"/>
      <sz val="14"/>
    </font>
    <font>
      <b val="1"/>
      <color rgb="00006600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3" borderId="1" pivotButton="0" quotePrefix="0" xfId="0"/>
    <xf numFmtId="0" fontId="4" fillId="3" borderId="1" pivotButton="0" quotePrefix="0" xfId="0"/>
    <xf numFmtId="10" fontId="4" fillId="3" borderId="1" pivotButton="0" quotePrefix="0" xfId="0"/>
    <xf numFmtId="2" fontId="4" fillId="3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5" fillId="4" borderId="1" pivotButton="0" quotePrefix="0" xfId="0"/>
    <xf numFmtId="166" fontId="0" fillId="0" borderId="0" pivotButton="0" quotePrefix="0" xfId="0"/>
    <xf numFmtId="0" fontId="5" fillId="4" borderId="1" pivotButton="0" quotePrefix="0" xfId="0"/>
    <xf numFmtId="10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166" fontId="5" fillId="4" borderId="1" pivotButton="0" quotePrefix="0" xfId="0"/>
    <xf numFmtId="0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7" fontId="0" fillId="0" borderId="1" pivotButton="0" quotePrefix="0" xfId="0"/>
    <xf numFmtId="164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  <col width="18" customWidth="1" min="4" max="4"/>
  </cols>
  <sheetData>
    <row r="1">
      <c r="A1" s="1" t="inlineStr">
        <is>
          <t>MULTIFAMILY BACKWARD ANALYSIS — ALL INPUTS</t>
        </is>
      </c>
      <c r="B1" s="1" t="n"/>
      <c r="C1" s="1" t="n"/>
      <c r="D1" s="1" t="n"/>
    </row>
    <row r="3">
      <c r="A3" s="2" t="inlineStr">
        <is>
          <t>RETIREMENT GOALS</t>
        </is>
      </c>
    </row>
    <row r="4">
      <c r="A4" s="3" t="inlineStr">
        <is>
          <t>Annual passive income (after-tax)</t>
        </is>
      </c>
      <c r="B4" s="4" t="n">
        <v>200000</v>
      </c>
    </row>
    <row r="5">
      <c r="A5" s="3" t="inlineStr">
        <is>
          <t>Timeline to retirement (years)</t>
        </is>
      </c>
      <c r="B5" s="5" t="n">
        <v>5</v>
      </c>
    </row>
    <row r="6">
      <c r="A6" s="3" t="inlineStr">
        <is>
          <t>Min cash-on-cash return</t>
        </is>
      </c>
      <c r="B6" s="6" t="n">
        <v>0.1</v>
      </c>
    </row>
    <row r="7">
      <c r="A7" s="3" t="inlineStr">
        <is>
          <t>Number of properties at retirement</t>
        </is>
      </c>
      <c r="B7" s="5" t="n">
        <v>3</v>
      </c>
    </row>
    <row r="8">
      <c r="A8" s="3" t="inlineStr">
        <is>
          <t>Effective tax rate</t>
        </is>
      </c>
      <c r="B8" s="6" t="n">
        <v>0.3</v>
      </c>
    </row>
    <row r="9">
      <c r="A9" s="3" t="inlineStr">
        <is>
          <t>Cash available for first deal</t>
        </is>
      </c>
      <c r="B9" s="4" t="n">
        <v>150000</v>
      </c>
    </row>
    <row r="11">
      <c r="A11" s="2" t="inlineStr">
        <is>
          <t>DEBT ASSUMPTIONS</t>
        </is>
      </c>
    </row>
    <row r="12">
      <c r="A12" s="3" t="inlineStr">
        <is>
          <t>LTV - Minimum</t>
        </is>
      </c>
      <c r="B12" s="6" t="n">
        <v>0.65</v>
      </c>
    </row>
    <row r="13">
      <c r="A13" s="3" t="inlineStr">
        <is>
          <t>LTV - Target</t>
        </is>
      </c>
      <c r="B13" s="6" t="n">
        <v>0.75</v>
      </c>
    </row>
    <row r="14">
      <c r="A14" s="3" t="inlineStr">
        <is>
          <t>LTV - Maximum</t>
        </is>
      </c>
      <c r="B14" s="6" t="n">
        <v>0.8</v>
      </c>
    </row>
    <row r="15">
      <c r="A15" s="3" t="inlineStr">
        <is>
          <t>DSCR Required</t>
        </is>
      </c>
      <c r="B15" s="7" t="n">
        <v>1.25</v>
      </c>
    </row>
    <row r="16">
      <c r="A16" s="3" t="inlineStr">
        <is>
          <t>Interest Rate</t>
        </is>
      </c>
      <c r="B16" s="6" t="n">
        <v>0.065</v>
      </c>
    </row>
    <row r="17">
      <c r="A17" s="3" t="inlineStr">
        <is>
          <t>Amortization (years)</t>
        </is>
      </c>
      <c r="B17" s="5" t="n">
        <v>30</v>
      </c>
    </row>
    <row r="18">
      <c r="A18" s="3" t="inlineStr">
        <is>
          <t>Loan Term (years)</t>
        </is>
      </c>
      <c r="B18" s="5" t="n">
        <v>7</v>
      </c>
    </row>
    <row r="19">
      <c r="A19" s="3" t="inlineStr">
        <is>
          <t>Origination Costs %</t>
        </is>
      </c>
      <c r="B19" s="6" t="n">
        <v>0.025</v>
      </c>
    </row>
    <row r="21">
      <c r="A21" s="2" t="inlineStr">
        <is>
          <t>MARKET ASSUMPTIONS</t>
        </is>
      </c>
    </row>
    <row r="22">
      <c r="A22" s="3" t="inlineStr">
        <is>
          <t>Avg market rent per unit (monthly)</t>
        </is>
      </c>
      <c r="B22" s="4" t="n">
        <v>1200</v>
      </c>
    </row>
    <row r="23">
      <c r="A23" s="3" t="inlineStr">
        <is>
          <t>Avg unit square footage</t>
        </is>
      </c>
      <c r="B23" s="5" t="n">
        <v>850</v>
      </c>
    </row>
    <row r="24">
      <c r="A24" s="3" t="inlineStr">
        <is>
          <t>Vacancy rate</t>
        </is>
      </c>
      <c r="B24" s="6" t="n">
        <v>0.07000000000000001</v>
      </c>
    </row>
    <row r="25">
      <c r="A25" s="3" t="inlineStr">
        <is>
          <t>Expense ratio (% of EGI)</t>
        </is>
      </c>
      <c r="B25" s="6" t="n">
        <v>0.45</v>
      </c>
    </row>
    <row r="26">
      <c r="A26" s="3" t="inlineStr">
        <is>
          <t>Annual rent growth</t>
        </is>
      </c>
      <c r="B26" s="6" t="n">
        <v>0.03</v>
      </c>
    </row>
    <row r="27">
      <c r="A27" s="3" t="inlineStr">
        <is>
          <t>Annual expense growth</t>
        </is>
      </c>
      <c r="B27" s="6" t="n">
        <v>0.025</v>
      </c>
    </row>
    <row r="28">
      <c r="A28" s="3" t="inlineStr">
        <is>
          <t>Market cap rate</t>
        </is>
      </c>
      <c r="B28" s="6" t="n">
        <v>0.065</v>
      </c>
    </row>
    <row r="29">
      <c r="A29" s="3" t="inlineStr">
        <is>
          <t>Exit cap rate (conservative)</t>
        </is>
      </c>
      <c r="B29" s="6" t="n">
        <v>0.07000000000000001</v>
      </c>
    </row>
    <row r="31">
      <c r="A31" s="2" t="inlineStr">
        <is>
          <t>INVESTOR / SYNDICATION ASSUMPTIONS</t>
        </is>
      </c>
    </row>
    <row r="32">
      <c r="A32" s="3" t="inlineStr">
        <is>
          <t>Preferred return to LPs</t>
        </is>
      </c>
      <c r="B32" s="6" t="n">
        <v>0.08</v>
      </c>
    </row>
    <row r="33">
      <c r="A33" s="3" t="inlineStr">
        <is>
          <t>Target equity multiple</t>
        </is>
      </c>
      <c r="B33" s="7" t="n">
        <v>2</v>
      </c>
    </row>
    <row r="34">
      <c r="A34" s="3" t="inlineStr">
        <is>
          <t>Target IRR to LPs</t>
        </is>
      </c>
      <c r="B34" s="6" t="n">
        <v>0.17</v>
      </c>
    </row>
    <row r="35">
      <c r="A35" s="3" t="inlineStr">
        <is>
          <t>Hold period (years)</t>
        </is>
      </c>
      <c r="B35" s="5" t="n">
        <v>5</v>
      </c>
    </row>
    <row r="36">
      <c r="A36" s="3" t="inlineStr">
        <is>
          <t>GP promote after pref</t>
        </is>
      </c>
      <c r="B36" s="6" t="n">
        <v>0.3</v>
      </c>
    </row>
    <row r="37">
      <c r="A37" s="3" t="inlineStr">
        <is>
          <t>Min investment per LP</t>
        </is>
      </c>
      <c r="B37" s="4" t="n">
        <v>50000</v>
      </c>
    </row>
    <row r="38">
      <c r="A38" s="3" t="inlineStr">
        <is>
          <t>Reserve months (operating)</t>
        </is>
      </c>
      <c r="B38" s="5" t="n">
        <v>6</v>
      </c>
    </row>
    <row r="40">
      <c r="A40" s="2" t="inlineStr">
        <is>
          <t>CREATIVE FINANCING ASSUMPTIONS</t>
        </is>
      </c>
    </row>
    <row r="41">
      <c r="A41" s="3" t="inlineStr">
        <is>
          <t>Seller finance rate</t>
        </is>
      </c>
      <c r="B41" s="6" t="n">
        <v>0.05</v>
      </c>
    </row>
    <row r="42">
      <c r="A42" s="3" t="inlineStr">
        <is>
          <t>Seller finance term (years)</t>
        </is>
      </c>
      <c r="B42" s="5" t="n">
        <v>10</v>
      </c>
    </row>
    <row r="43">
      <c r="A43" s="3" t="inlineStr">
        <is>
          <t>Seller balloon year</t>
        </is>
      </c>
      <c r="B43" s="5" t="n">
        <v>5</v>
      </c>
    </row>
    <row r="44">
      <c r="A44" s="3" t="inlineStr">
        <is>
          <t>Seller max LTV carry</t>
        </is>
      </c>
      <c r="B44" s="6" t="n">
        <v>0.85</v>
      </c>
    </row>
    <row r="45">
      <c r="A45" s="3" t="inlineStr">
        <is>
          <t>Max out-of-pocket (creative)</t>
        </is>
      </c>
      <c r="B45" s="4" t="n">
        <v>50000</v>
      </c>
    </row>
    <row r="46">
      <c r="A46" s="3" t="inlineStr">
        <is>
          <t>Master lease term (years)</t>
        </is>
      </c>
      <c r="B46" s="5" t="n">
        <v>3</v>
      </c>
    </row>
    <row r="47">
      <c r="A47" s="3" t="inlineStr">
        <is>
          <t>Option price premium</t>
        </is>
      </c>
      <c r="B47" s="6" t="n">
        <v>0.05</v>
      </c>
    </row>
    <row r="49">
      <c r="A49" s="2" t="inlineStr">
        <is>
          <t>VALUE-ADD ASSUMPTIONS</t>
        </is>
      </c>
    </row>
    <row r="50">
      <c r="A50" s="3" t="inlineStr">
        <is>
          <t>Capex per unit</t>
        </is>
      </c>
      <c r="B50" s="4" t="n">
        <v>15000</v>
      </c>
    </row>
    <row r="51">
      <c r="A51" s="3" t="inlineStr">
        <is>
          <t>Rent bump per unit (monthly)</t>
        </is>
      </c>
      <c r="B51" s="4" t="n">
        <v>200</v>
      </c>
    </row>
    <row r="52">
      <c r="A52" s="3" t="inlineStr">
        <is>
          <t>Reno timeline (months)</t>
        </is>
      </c>
      <c r="B52" s="5" t="n">
        <v>18</v>
      </c>
    </row>
    <row r="53">
      <c r="A53" s="3" t="inlineStr">
        <is>
          <t>Units renovated per month</t>
        </is>
      </c>
      <c r="B53" s="5" t="n">
        <v>3</v>
      </c>
    </row>
    <row r="54">
      <c r="A54" s="3" t="inlineStr">
        <is>
          <t>Expense reduction %</t>
        </is>
      </c>
      <c r="B54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</cols>
  <sheetData>
    <row r="1">
      <c r="A1" s="1" t="inlineStr">
        <is>
          <t>BACKWARD SOLVE: RETIREMENT INCOME TO DEAL SIZE</t>
        </is>
      </c>
      <c r="B1" s="1" t="n"/>
      <c r="C1" s="1" t="n"/>
    </row>
    <row r="4">
      <c r="A4" s="3" t="inlineStr">
        <is>
          <t>Target passive income (after-tax)</t>
        </is>
      </c>
      <c r="B4" s="8">
        <f>Inputs!B4</f>
        <v/>
      </c>
    </row>
    <row r="5">
      <c r="A5" s="3" t="inlineStr">
        <is>
          <t>Effective tax rate</t>
        </is>
      </c>
      <c r="B5" s="9">
        <f>Inputs!B8</f>
        <v/>
      </c>
    </row>
    <row r="6">
      <c r="A6" s="3" t="inlineStr">
        <is>
          <t>Pre-tax income needed</t>
        </is>
      </c>
      <c r="B6" s="8">
        <f>B3/(1-B4)</f>
        <v/>
      </c>
    </row>
    <row r="7">
      <c r="A7" s="3" t="inlineStr">
        <is>
          <t>Number of properties</t>
        </is>
      </c>
      <c r="B7">
        <f>Inputs!B7</f>
        <v/>
      </c>
    </row>
    <row r="8">
      <c r="A8" s="3" t="inlineStr">
        <is>
          <t>Income needed per property</t>
        </is>
      </c>
      <c r="B8" s="8">
        <f>B5/B6</f>
        <v/>
      </c>
    </row>
    <row r="10">
      <c r="A10" s="3" t="inlineStr">
        <is>
          <t>Min cash-on-cash return</t>
        </is>
      </c>
      <c r="B10" s="9">
        <f>Inputs!B6</f>
        <v/>
      </c>
    </row>
    <row r="11">
      <c r="A11" s="3" t="inlineStr">
        <is>
          <t>Equity required per deal</t>
        </is>
      </c>
      <c r="B11" s="8">
        <f>B7/B9</f>
        <v/>
      </c>
    </row>
    <row r="12">
      <c r="A12" s="3" t="inlineStr">
        <is>
          <t>Total equity needed (all deals)</t>
        </is>
      </c>
      <c r="B12" s="8">
        <f>B10*B6</f>
        <v/>
      </c>
    </row>
    <row r="14">
      <c r="A14" s="3" t="inlineStr">
        <is>
          <t>Market cap rate</t>
        </is>
      </c>
      <c r="B14" s="9">
        <f>Inputs!B26</f>
        <v/>
      </c>
    </row>
    <row r="15">
      <c r="A15" s="3" t="inlineStr">
        <is>
          <t>LTV target</t>
        </is>
      </c>
      <c r="B15" s="9">
        <f>Inputs!B12</f>
        <v/>
      </c>
    </row>
    <row r="16">
      <c r="A16" s="3" t="inlineStr">
        <is>
          <t>Interest rate</t>
        </is>
      </c>
      <c r="B16" s="9">
        <f>Inputs!B15</f>
        <v/>
      </c>
    </row>
    <row r="17">
      <c r="A17" s="3" t="inlineStr">
        <is>
          <t>Amortization (years)</t>
        </is>
      </c>
      <c r="B17">
        <f>Inputs!B16</f>
        <v/>
      </c>
    </row>
    <row r="19">
      <c r="A19" s="3" t="inlineStr">
        <is>
          <t>Monthly rate</t>
        </is>
      </c>
      <c r="B19" s="9">
        <f>B15/12</f>
        <v/>
      </c>
    </row>
    <row r="20">
      <c r="A20" s="3" t="inlineStr">
        <is>
          <t>Total payments (months)</t>
        </is>
      </c>
      <c r="B20">
        <f>B16*12</f>
        <v/>
      </c>
    </row>
    <row r="21">
      <c r="A21" s="3" t="inlineStr">
        <is>
          <t>Annual loan constant (K)</t>
        </is>
      </c>
      <c r="B21" s="9">
        <f>(B18*(1+B18)^B19/((1+B18)^B19-1))*12</f>
        <v/>
      </c>
    </row>
    <row r="22">
      <c r="A22" s="3" t="inlineStr">
        <is>
          <t>Debt burden factor (LTV*K/Cap)</t>
        </is>
      </c>
      <c r="B22">
        <f>B14*B20/B13</f>
        <v/>
      </c>
    </row>
    <row r="24">
      <c r="A24" s="3" t="inlineStr">
        <is>
          <t>REQUIRED NOI PER DEAL</t>
        </is>
      </c>
      <c r="B24" s="10">
        <f>B7/(1-B21)</f>
        <v/>
      </c>
    </row>
    <row r="25">
      <c r="A25" s="3" t="inlineStr">
        <is>
          <t>PURCHASE PRICE PER DEAL</t>
        </is>
      </c>
      <c r="B25" s="10">
        <f>B23/B13</f>
        <v/>
      </c>
    </row>
    <row r="26">
      <c r="A26" s="3" t="inlineStr">
        <is>
          <t>LOAN AMOUNT</t>
        </is>
      </c>
      <c r="B26" s="10">
        <f>B24*B14</f>
        <v/>
      </c>
    </row>
    <row r="27">
      <c r="A27" s="3" t="inlineStr">
        <is>
          <t>ANNUAL DEBT SERVICE</t>
        </is>
      </c>
      <c r="B27" s="10">
        <f>B25*B20</f>
        <v/>
      </c>
    </row>
    <row r="28">
      <c r="A28" s="3" t="inlineStr">
        <is>
          <t>YEAR 1 CASH FLOW</t>
        </is>
      </c>
      <c r="B28" s="10">
        <f>B23-B26</f>
        <v/>
      </c>
    </row>
    <row r="29">
      <c r="A29" s="3" t="inlineStr">
        <is>
          <t>DSCR (actual)</t>
        </is>
      </c>
      <c r="B29" s="11">
        <f>B23/B26</f>
        <v/>
      </c>
    </row>
    <row r="31">
      <c r="A31" s="3" t="inlineStr">
        <is>
          <t>NOI per unit (annual)</t>
        </is>
      </c>
      <c r="B31" s="8">
        <f>Inputs!B20*12*(1-Inputs!B22)*(1-Inputs!B23)</f>
        <v/>
      </c>
    </row>
    <row r="32">
      <c r="A32" s="3" t="inlineStr">
        <is>
          <t>UNITS NEEDED PER DEAL</t>
        </is>
      </c>
      <c r="B32" s="12">
        <f>ROUNDUP(B23/B30,0)</f>
        <v/>
      </c>
    </row>
    <row r="33">
      <c r="A33" s="3" t="inlineStr">
        <is>
          <t>PRICE PER UNIT</t>
        </is>
      </c>
      <c r="B33" s="10">
        <f>B24/B31</f>
        <v/>
      </c>
    </row>
    <row r="35">
      <c r="A35" s="3" t="inlineStr">
        <is>
          <t>Down payment</t>
        </is>
      </c>
      <c r="B35" s="8">
        <f>B24*(1-B14)</f>
        <v/>
      </c>
    </row>
    <row r="36">
      <c r="A36" s="3" t="inlineStr">
        <is>
          <t>Closing costs</t>
        </is>
      </c>
      <c r="B36" s="8">
        <f>B25*Inputs!B18</f>
        <v/>
      </c>
    </row>
    <row r="37">
      <c r="A37" s="3" t="inlineStr">
        <is>
          <t>TOTAL CASH TO CLOSE</t>
        </is>
      </c>
      <c r="B37" s="10">
        <f>B34+B35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DEBT &amp; LTV CONSTRAINT VALIDATION</t>
        </is>
      </c>
      <c r="B1" s="1" t="n"/>
      <c r="C1" s="1" t="n"/>
    </row>
    <row r="3">
      <c r="A3" s="3" t="inlineStr">
        <is>
          <t>Required NOI (from Retirement tab)</t>
        </is>
      </c>
      <c r="B3" s="8">
        <f>'Retirement Solve'!B23</f>
        <v/>
      </c>
    </row>
    <row r="4">
      <c r="A4" s="3" t="inlineStr">
        <is>
          <t>Purchase Price</t>
        </is>
      </c>
      <c r="B4" s="8">
        <f>'Retirement Solve'!B24</f>
        <v/>
      </c>
    </row>
    <row r="5">
      <c r="A5" s="3" t="inlineStr">
        <is>
          <t>Loan Amount at Target LTV</t>
        </is>
      </c>
      <c r="B5" s="8">
        <f>'Retirement Solve'!B25</f>
        <v/>
      </c>
    </row>
    <row r="6">
      <c r="A6" s="3" t="inlineStr">
        <is>
          <t>Annual Debt Service</t>
        </is>
      </c>
      <c r="B6" s="8">
        <f>'Retirement Solve'!B26</f>
        <v/>
      </c>
    </row>
    <row r="8">
      <c r="A8" s="3" t="inlineStr">
        <is>
          <t>DSCR (actual)</t>
        </is>
      </c>
      <c r="B8" s="11">
        <f>'Retirement Solve'!B28</f>
        <v/>
      </c>
    </row>
    <row r="9">
      <c r="A9" s="3" t="inlineStr">
        <is>
          <t>DSCR Required (minimum)</t>
        </is>
      </c>
      <c r="B9" s="11">
        <f>Inputs!B14</f>
        <v/>
      </c>
    </row>
    <row r="10">
      <c r="A10" s="3" t="inlineStr">
        <is>
          <t>DSCR Pass?</t>
        </is>
      </c>
      <c r="B10">
        <f>IF(B8&gt;=B9,"PASS","FAIL")</f>
        <v/>
      </c>
    </row>
    <row r="12">
      <c r="A12" s="3" t="inlineStr">
        <is>
          <t>Max Loan from DSCR</t>
        </is>
      </c>
      <c r="B12" s="8">
        <f>B3/(B9*'Retirement Solve'!B20)</f>
        <v/>
      </c>
    </row>
    <row r="13">
      <c r="A13" s="3" t="inlineStr">
        <is>
          <t>Max Loan from LTV</t>
        </is>
      </c>
      <c r="B13" s="8">
        <f>B4*Inputs!B13</f>
        <v/>
      </c>
    </row>
    <row r="14">
      <c r="A14" s="3" t="inlineStr">
        <is>
          <t>Binding Constraint</t>
        </is>
      </c>
      <c r="B14">
        <f>IF(B13&lt;B14,"DSCR","LTV")</f>
        <v/>
      </c>
    </row>
    <row r="15">
      <c r="A15" s="3" t="inlineStr">
        <is>
          <t>Implied LTV at DSCR Limit</t>
        </is>
      </c>
      <c r="B15" s="13">
        <f>B13/B4</f>
        <v/>
      </c>
    </row>
    <row r="17">
      <c r="A17" s="3" t="inlineStr">
        <is>
          <t>— SPREAD ANALYSIS —</t>
        </is>
      </c>
    </row>
    <row r="18">
      <c r="A18" s="3" t="inlineStr">
        <is>
          <t>Market Cap Rate</t>
        </is>
      </c>
      <c r="B18" s="13">
        <f>Inputs!B26</f>
        <v/>
      </c>
    </row>
    <row r="19">
      <c r="A19" s="3" t="inlineStr">
        <is>
          <t>Cost of Debt (interest rate)</t>
        </is>
      </c>
      <c r="B19" s="13">
        <f>Inputs!B15</f>
        <v/>
      </c>
    </row>
    <row r="20">
      <c r="A20" s="3" t="inlineStr">
        <is>
          <t>Spread (Cap - Debt) in bps</t>
        </is>
      </c>
      <c r="B20">
        <f>(B19-B20)*10000</f>
        <v/>
      </c>
    </row>
    <row r="21">
      <c r="A21" s="3" t="inlineStr">
        <is>
          <t>Spread Assessment</t>
        </is>
      </c>
      <c r="B21">
        <f>IF(B21&gt;=100,"POSITIVE LEVERAGE",IF(B21&gt;=0,"NEUTRAL","NEGATIVE LEVERAGE"))</f>
        <v/>
      </c>
    </row>
    <row r="23">
      <c r="A23" s="3" t="inlineStr">
        <is>
          <t>— BREAKEVEN ANALYSIS —</t>
        </is>
      </c>
    </row>
    <row r="24">
      <c r="A24" s="3" t="inlineStr">
        <is>
          <t>Gross Potential Income</t>
        </is>
      </c>
      <c r="B24" s="8">
        <f>B3/((1-Inputs!B22)*(1-Inputs!B23))</f>
        <v/>
      </c>
    </row>
    <row r="25">
      <c r="A25" s="3" t="inlineStr">
        <is>
          <t>Fixed Expenses</t>
        </is>
      </c>
      <c r="B25" s="8">
        <f>B25*Inputs!B23</f>
        <v/>
      </c>
    </row>
    <row r="26">
      <c r="A26" s="3" t="inlineStr">
        <is>
          <t>Breakeven Occupancy</t>
        </is>
      </c>
      <c r="B26" s="13">
        <f>(B6+B26)/B25</f>
        <v/>
      </c>
    </row>
    <row r="28">
      <c r="A28" s="3" t="inlineStr">
        <is>
          <t>— STRESS TEST: Rates +150bps at Refi —</t>
        </is>
      </c>
    </row>
    <row r="29">
      <c r="A29" s="3" t="inlineStr">
        <is>
          <t>Stress Rate</t>
        </is>
      </c>
      <c r="B29" s="13">
        <f>Inputs!B15+0.015</f>
        <v/>
      </c>
    </row>
    <row r="30">
      <c r="A30" s="3" t="inlineStr">
        <is>
          <t>NOI at Refi (grown)</t>
        </is>
      </c>
      <c r="B30" s="8">
        <f>B3*(1+Inputs!B24)^Inputs!B17</f>
        <v/>
      </c>
    </row>
    <row r="31">
      <c r="A31" s="3" t="inlineStr">
        <is>
          <t>Stress DSCR</t>
        </is>
      </c>
      <c r="B31" s="11">
        <f>B31/B6</f>
        <v/>
      </c>
    </row>
    <row r="32">
      <c r="A32" s="3" t="inlineStr">
        <is>
          <t>Stress Cash Flow</t>
        </is>
      </c>
      <c r="B32" s="8">
        <f>B31-B6</f>
        <v/>
      </c>
    </row>
    <row r="33">
      <c r="A33" s="3" t="inlineStr">
        <is>
          <t>Stress Test Pass?</t>
        </is>
      </c>
      <c r="B33">
        <f>IF(B32&gt;=1.0,"PASS","FAIL")</f>
        <v/>
      </c>
    </row>
    <row r="35">
      <c r="A35" s="3" t="inlineStr">
        <is>
          <t>═══ VERDICT ═══</t>
        </is>
      </c>
    </row>
    <row r="36">
      <c r="A36" s="3" t="inlineStr">
        <is>
          <t>Conventional Viable?</t>
        </is>
      </c>
      <c r="B36">
        <f>IF(AND(B10="PASS",B21&gt;=0),"CONVENTIONAL FINANCING VIABLE","CREATIVE STRUCTURE REQUIRED")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INVESTOR MARKETABILITY — SYNDICATION FEASIBILITY</t>
        </is>
      </c>
      <c r="B1" s="1" t="n"/>
      <c r="C1" s="1" t="n"/>
      <c r="D1" s="1" t="n"/>
      <c r="E1" s="1" t="n"/>
      <c r="F1" s="1" t="n"/>
    </row>
    <row r="3">
      <c r="A3" s="3" t="inlineStr">
        <is>
          <t>Down payment</t>
        </is>
      </c>
      <c r="B3" s="8">
        <f>'Retirement Solve'!B34</f>
        <v/>
      </c>
    </row>
    <row r="4">
      <c r="A4" s="3" t="inlineStr">
        <is>
          <t>Closing costs</t>
        </is>
      </c>
      <c r="B4" s="8">
        <f>'Retirement Solve'!B35</f>
        <v/>
      </c>
    </row>
    <row r="5">
      <c r="A5" s="3" t="inlineStr">
        <is>
          <t>Capex budget (units * capex/unit)</t>
        </is>
      </c>
      <c r="B5" s="8">
        <f>'Retirement Solve'!B31*Inputs!B48</f>
        <v/>
      </c>
    </row>
    <row r="6">
      <c r="A6" s="3" t="inlineStr">
        <is>
          <t>Operating reserves (months)</t>
        </is>
      </c>
      <c r="B6" s="8">
        <f>('Retirement Solve'!B26/12)*Inputs!B40</f>
        <v/>
      </c>
    </row>
    <row r="7">
      <c r="A7" s="3" t="inlineStr">
        <is>
          <t>TOTAL CAPITAL RAISE</t>
        </is>
      </c>
      <c r="B7" s="10">
        <f>B3+B4+B5+B6</f>
        <v/>
      </c>
    </row>
    <row r="9">
      <c r="A9" s="3" t="inlineStr">
        <is>
          <t>GP co-invest (your cash)</t>
        </is>
      </c>
      <c r="B9" s="8">
        <f>Inputs!B9</f>
        <v/>
      </c>
    </row>
    <row r="10">
      <c r="A10" s="3" t="inlineStr">
        <is>
          <t>LP equity needed</t>
        </is>
      </c>
      <c r="B10" s="8">
        <f>B7-B9</f>
        <v/>
      </c>
    </row>
    <row r="11">
      <c r="A11" s="3" t="inlineStr">
        <is>
          <t>Investors needed (@ min investment)</t>
        </is>
      </c>
      <c r="B11">
        <f>ROUNDUP(B10/Inputs!B39,0)</f>
        <v/>
      </c>
    </row>
    <row r="13">
      <c r="A13" s="3" t="inlineStr">
        <is>
          <t>— LP RETURN TARGETS —</t>
        </is>
      </c>
    </row>
    <row r="14">
      <c r="A14" s="3" t="inlineStr">
        <is>
          <t>Preferred return</t>
        </is>
      </c>
      <c r="B14" s="13">
        <f>Inputs!B34</f>
        <v/>
      </c>
    </row>
    <row r="15">
      <c r="A15" s="3" t="inlineStr">
        <is>
          <t>Target equity multiple</t>
        </is>
      </c>
      <c r="B15" s="14">
        <f>Inputs!B35</f>
        <v/>
      </c>
    </row>
    <row r="16">
      <c r="A16" s="3" t="inlineStr">
        <is>
          <t>Target IRR</t>
        </is>
      </c>
      <c r="B16" s="13">
        <f>Inputs!B36</f>
        <v/>
      </c>
    </row>
    <row r="17">
      <c r="A17" s="3" t="inlineStr">
        <is>
          <t>GP promote after pref</t>
        </is>
      </c>
      <c r="B17" s="13">
        <f>Inputs!B38</f>
        <v/>
      </c>
    </row>
    <row r="18">
      <c r="A18" s="3" t="inlineStr">
        <is>
          <t>Hold period</t>
        </is>
      </c>
      <c r="B18">
        <f>Inputs!B37</f>
        <v/>
      </c>
    </row>
    <row r="21">
      <c r="A21" s="2" t="inlineStr">
        <is>
          <t>ANNUAL CASH FLOW PROJECTION</t>
        </is>
      </c>
    </row>
    <row r="22">
      <c r="A22" s="15" t="inlineStr">
        <is>
          <t>Year</t>
        </is>
      </c>
      <c r="B22" s="15" t="inlineStr">
        <is>
          <t>NOI</t>
        </is>
      </c>
      <c r="C22" s="15" t="inlineStr">
        <is>
          <t>Debt Service</t>
        </is>
      </c>
      <c r="D22" s="15" t="inlineStr">
        <is>
          <t>Total CF</t>
        </is>
      </c>
      <c r="E22" s="15" t="inlineStr">
        <is>
          <t>LP Share</t>
        </is>
      </c>
      <c r="F22" s="15" t="inlineStr">
        <is>
          <t>GP Share</t>
        </is>
      </c>
    </row>
    <row r="23">
      <c r="A23" t="n">
        <v>1</v>
      </c>
      <c r="B23" s="8">
        <f>'Retirement Solve'!B23*(1+Inputs!B24)^1+'Retirement Solve'!B31*Inputs!B49*12*(1-Inputs!B23)*1/5</f>
        <v/>
      </c>
      <c r="C23" s="8">
        <f>'Retirement Solve'!B26</f>
        <v/>
      </c>
      <c r="D23" s="8">
        <f>B23-C23</f>
        <v/>
      </c>
      <c r="E23" s="8">
        <f>D23*(1-Inputs!B38)</f>
        <v/>
      </c>
      <c r="F23" s="8">
        <f>D23*Inputs!B38</f>
        <v/>
      </c>
    </row>
    <row r="24">
      <c r="A24" t="n">
        <v>2</v>
      </c>
      <c r="B24" s="8">
        <f>'Retirement Solve'!B23*(1+Inputs!B24)^2+'Retirement Solve'!B31*Inputs!B49*12*(1-Inputs!B23)*2/5</f>
        <v/>
      </c>
      <c r="C24" s="8">
        <f>'Retirement Solve'!B26</f>
        <v/>
      </c>
      <c r="D24" s="8">
        <f>B24-C24</f>
        <v/>
      </c>
      <c r="E24" s="8">
        <f>D24*(1-Inputs!B38)</f>
        <v/>
      </c>
      <c r="F24" s="8">
        <f>D24*Inputs!B38</f>
        <v/>
      </c>
    </row>
    <row r="25">
      <c r="A25" t="n">
        <v>3</v>
      </c>
      <c r="B25" s="8">
        <f>'Retirement Solve'!B23*(1+Inputs!B24)^3+'Retirement Solve'!B31*Inputs!B49*12*(1-Inputs!B23)*3/5</f>
        <v/>
      </c>
      <c r="C25" s="8">
        <f>'Retirement Solve'!B26</f>
        <v/>
      </c>
      <c r="D25" s="8">
        <f>B25-C25</f>
        <v/>
      </c>
      <c r="E25" s="8">
        <f>D25*(1-Inputs!B38)</f>
        <v/>
      </c>
      <c r="F25" s="8">
        <f>D25*Inputs!B38</f>
        <v/>
      </c>
    </row>
    <row r="26">
      <c r="A26" t="n">
        <v>4</v>
      </c>
      <c r="B26" s="8">
        <f>'Retirement Solve'!B23*(1+Inputs!B24)^4+'Retirement Solve'!B31*Inputs!B49*12*(1-Inputs!B23)*4/5</f>
        <v/>
      </c>
      <c r="C26" s="8">
        <f>'Retirement Solve'!B26</f>
        <v/>
      </c>
      <c r="D26" s="8">
        <f>B26-C26</f>
        <v/>
      </c>
      <c r="E26" s="8">
        <f>D26*(1-Inputs!B38)</f>
        <v/>
      </c>
      <c r="F26" s="8">
        <f>D26*Inputs!B38</f>
        <v/>
      </c>
    </row>
    <row r="27">
      <c r="A27" t="n">
        <v>5</v>
      </c>
      <c r="B27" s="8">
        <f>'Retirement Solve'!B23*(1+Inputs!B24)^5+'Retirement Solve'!B31*Inputs!B49*12*(1-Inputs!B23)*5/5</f>
        <v/>
      </c>
      <c r="C27" s="8">
        <f>'Retirement Solve'!B26</f>
        <v/>
      </c>
      <c r="D27" s="8">
        <f>B27-C27</f>
        <v/>
      </c>
      <c r="E27" s="8">
        <f>D27*(1-Inputs!B38)</f>
        <v/>
      </c>
      <c r="F27" s="8">
        <f>D27*Inputs!B38</f>
        <v/>
      </c>
    </row>
    <row r="29">
      <c r="A29" s="2" t="inlineStr">
        <is>
          <t>EXIT ANALYSIS</t>
        </is>
      </c>
    </row>
    <row r="30">
      <c r="A30" s="3" t="inlineStr">
        <is>
          <t>Stabilized NOI (Year 5)</t>
        </is>
      </c>
      <c r="B30" s="8">
        <f>B27</f>
        <v/>
      </c>
    </row>
    <row r="31">
      <c r="A31" s="3" t="inlineStr">
        <is>
          <t>Exit cap rate</t>
        </is>
      </c>
      <c r="B31" s="13">
        <f>Inputs!B27</f>
        <v/>
      </c>
    </row>
    <row r="32">
      <c r="A32" s="3" t="inlineStr">
        <is>
          <t>Gross exit value</t>
        </is>
      </c>
      <c r="B32" s="8">
        <f>B30/B31</f>
        <v/>
      </c>
    </row>
    <row r="33">
      <c r="A33" s="3" t="inlineStr">
        <is>
          <t>Less: disposition costs (3%)</t>
        </is>
      </c>
      <c r="B33" s="8">
        <f>B32*0.03</f>
        <v/>
      </c>
    </row>
    <row r="34">
      <c r="A34" s="3" t="inlineStr">
        <is>
          <t>Less: remaining loan balance (approx)</t>
        </is>
      </c>
      <c r="B34" s="8">
        <f>'Retirement Solve'!B25*0.90</f>
        <v/>
      </c>
    </row>
    <row r="35">
      <c r="A35" s="3" t="inlineStr">
        <is>
          <t>NET SALE PROCEEDS</t>
        </is>
      </c>
      <c r="B35" s="10">
        <f>B32-B33-B34</f>
        <v/>
      </c>
    </row>
    <row r="37">
      <c r="A37" s="3" t="inlineStr">
        <is>
          <t>LP exit share</t>
        </is>
      </c>
      <c r="B37" s="8">
        <f>B35*(1-Inputs!B38)</f>
        <v/>
      </c>
    </row>
    <row r="38">
      <c r="A38" s="3" t="inlineStr">
        <is>
          <t>GP exit share (promote)</t>
        </is>
      </c>
      <c r="B38" s="8">
        <f>B35*Inputs!B38</f>
        <v/>
      </c>
    </row>
    <row r="40">
      <c r="A40" s="3" t="inlineStr">
        <is>
          <t>LP total distributions</t>
        </is>
      </c>
      <c r="B40" s="8">
        <f>B37+SUMPRODUCT(E22:E26)</f>
        <v/>
      </c>
    </row>
    <row r="41">
      <c r="A41" s="3" t="inlineStr">
        <is>
          <t>LP EQUITY MULTIPLE</t>
        </is>
      </c>
      <c r="B41" s="16">
        <f>B40/B10</f>
        <v/>
      </c>
    </row>
    <row r="44">
      <c r="A44" s="2" t="inlineStr">
        <is>
          <t>MARKETABILITY VERDICT</t>
        </is>
      </c>
    </row>
    <row r="45">
      <c r="A45" s="3" t="inlineStr">
        <is>
          <t>Can raise in 60 days?</t>
        </is>
      </c>
      <c r="B45" s="12">
        <f>IF(B42&gt;=Inputs!B35,"YES - Deal is marketable","DIFFICULT - Rework returns")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CREATIVE FINANCING FEASIBILITY</t>
        </is>
      </c>
      <c r="B1" s="1" t="n"/>
      <c r="C1" s="1" t="n"/>
    </row>
    <row r="3">
      <c r="A3" s="2" t="inlineStr">
        <is>
          <t>SELLER FINANCING</t>
        </is>
      </c>
    </row>
    <row r="4">
      <c r="A4" s="3" t="inlineStr">
        <is>
          <t>Purchase price</t>
        </is>
      </c>
      <c r="B4" s="8">
        <f>'Retirement Solve'!B24</f>
        <v/>
      </c>
    </row>
    <row r="5">
      <c r="A5" s="3" t="inlineStr">
        <is>
          <t>Seller carry LTV</t>
        </is>
      </c>
      <c r="B5" s="13">
        <f>Inputs!B44</f>
        <v/>
      </c>
    </row>
    <row r="6">
      <c r="A6" s="3" t="inlineStr">
        <is>
          <t>Seller carry amount</t>
        </is>
      </c>
      <c r="B6" s="8">
        <f>B4*B5</f>
        <v/>
      </c>
    </row>
    <row r="7">
      <c r="A7" s="3" t="inlineStr">
        <is>
          <t>Down payment to seller</t>
        </is>
      </c>
      <c r="B7" s="8">
        <f>B4-B6</f>
        <v/>
      </c>
    </row>
    <row r="8">
      <c r="A8" s="3" t="inlineStr">
        <is>
          <t>Seller finance rate</t>
        </is>
      </c>
      <c r="B8" s="13">
        <f>Inputs!B42</f>
        <v/>
      </c>
    </row>
    <row r="9">
      <c r="A9" s="3" t="inlineStr">
        <is>
          <t>Seller finance term (years)</t>
        </is>
      </c>
      <c r="B9">
        <f>Inputs!B43</f>
        <v/>
      </c>
    </row>
    <row r="10">
      <c r="A10" s="3" t="inlineStr">
        <is>
          <t>Monthly payment (seller note)</t>
        </is>
      </c>
      <c r="B10" s="8">
        <f>PMT(B8/12,B9*12,-B6)</f>
        <v/>
      </c>
    </row>
    <row r="11">
      <c r="A11" s="3" t="inlineStr">
        <is>
          <t>Annual debt service (seller)</t>
        </is>
      </c>
      <c r="B11" s="8">
        <f>B10*12</f>
        <v/>
      </c>
    </row>
    <row r="12">
      <c r="A12" s="3" t="inlineStr">
        <is>
          <t>NOI</t>
        </is>
      </c>
      <c r="B12" s="8">
        <f>'Retirement Solve'!B23</f>
        <v/>
      </c>
    </row>
    <row r="13">
      <c r="A13" s="3" t="inlineStr">
        <is>
          <t>Cash flow (seller finance)</t>
        </is>
      </c>
      <c r="B13" s="8">
        <f>B12-B11</f>
        <v/>
      </c>
    </row>
    <row r="14">
      <c r="A14" s="3" t="inlineStr">
        <is>
          <t>DSCR (seller note)</t>
        </is>
      </c>
      <c r="B14" s="11">
        <f>B12/B11</f>
        <v/>
      </c>
    </row>
    <row r="15">
      <c r="A15" s="3" t="inlineStr">
        <is>
          <t>Balloon year</t>
        </is>
      </c>
      <c r="B15">
        <f>Inputs!B45</f>
        <v/>
      </c>
    </row>
    <row r="16">
      <c r="A16" s="3" t="inlineStr">
        <is>
          <t>Balloon balance (approx)</t>
        </is>
      </c>
      <c r="B16" s="8">
        <f>B6*0.85</f>
        <v/>
      </c>
    </row>
    <row r="18">
      <c r="A18" s="3" t="inlineStr">
        <is>
          <t>Seller finance VIABLE?</t>
        </is>
      </c>
      <c r="B18" s="12">
        <f>IF(AND(B13&gt;0,B14&gt;=1.1),"YES","NO")</f>
        <v/>
      </c>
    </row>
    <row r="20">
      <c r="A20" s="2" t="inlineStr">
        <is>
          <t>SUBJECT-TO / WRAP</t>
        </is>
      </c>
    </row>
    <row r="21">
      <c r="A21" s="3" t="inlineStr">
        <is>
          <t>Estimated existing debt (50% of price)</t>
        </is>
      </c>
      <c r="B21" s="8">
        <f>'Retirement Solve'!B24*0.50</f>
        <v/>
      </c>
    </row>
    <row r="22">
      <c r="A22" s="3" t="inlineStr">
        <is>
          <t>Existing rate (assumed)</t>
        </is>
      </c>
      <c r="B22" s="13" t="n">
        <v>0.045</v>
      </c>
    </row>
    <row r="23">
      <c r="A23" s="3" t="inlineStr">
        <is>
          <t>Existing annual debt service</t>
        </is>
      </c>
      <c r="B23" s="8">
        <f>PMT(B22/12,25*12,-B21)*12</f>
        <v/>
      </c>
    </row>
    <row r="24">
      <c r="A24" s="3" t="inlineStr">
        <is>
          <t>Gap financing needed</t>
        </is>
      </c>
      <c r="B24" s="8">
        <f>B4-B21-Inputs!B46</f>
        <v/>
      </c>
    </row>
    <row r="25">
      <c r="A25" s="3" t="inlineStr">
        <is>
          <t>Cash flow (sub-to)</t>
        </is>
      </c>
      <c r="B25" s="8">
        <f>'Retirement Solve'!B23-B23</f>
        <v/>
      </c>
    </row>
    <row r="26">
      <c r="A26" s="3" t="inlineStr">
        <is>
          <t>Gap &lt; 20% of price?</t>
        </is>
      </c>
      <c r="B26">
        <f>IF(B24&lt;B4*0.2,"YES","NO")</f>
        <v/>
      </c>
    </row>
    <row r="27">
      <c r="A27" s="3" t="inlineStr">
        <is>
          <t>Subject-to VIABLE?</t>
        </is>
      </c>
      <c r="B27" s="12">
        <f>IF(AND(B25&gt;0,B26="YES"),"YES","NO")</f>
        <v/>
      </c>
    </row>
    <row r="28">
      <c r="A28" s="3" t="inlineStr">
        <is>
          <t>Due-on-sale risk</t>
        </is>
      </c>
      <c r="B28" t="inlineStr">
        <is>
          <t>MODERATE</t>
        </is>
      </c>
    </row>
    <row r="30">
      <c r="A30" s="2" t="inlineStr">
        <is>
          <t>MASTER LEASE WITH OPTION</t>
        </is>
      </c>
    </row>
    <row r="31">
      <c r="A31" s="3" t="inlineStr">
        <is>
          <t>Seller's debt service (existing)</t>
        </is>
      </c>
      <c r="B31" s="8">
        <f>B23</f>
        <v/>
      </c>
    </row>
    <row r="32">
      <c r="A32" s="3" t="inlineStr">
        <is>
          <t>Master lease payment (110% of seller DS)</t>
        </is>
      </c>
      <c r="B32" s="8">
        <f>B31*1.10</f>
        <v/>
      </c>
    </row>
    <row r="33">
      <c r="A33" s="3" t="inlineStr">
        <is>
          <t>Monthly lease payment</t>
        </is>
      </c>
      <c r="B33" s="8">
        <f>B32/12</f>
        <v/>
      </c>
    </row>
    <row r="34">
      <c r="A34" s="3" t="inlineStr">
        <is>
          <t>Cash flow during lease</t>
        </is>
      </c>
      <c r="B34" s="8">
        <f>'Retirement Solve'!B23-B32</f>
        <v/>
      </c>
    </row>
    <row r="35">
      <c r="A35" s="3" t="inlineStr">
        <is>
          <t>Option strike price (price + premium)</t>
        </is>
      </c>
      <c r="B35" s="8">
        <f>B4*(1+Inputs!B47)</f>
        <v/>
      </c>
    </row>
    <row r="36">
      <c r="A36" s="3" t="inlineStr">
        <is>
          <t>Stabilized NOI post-reno</t>
        </is>
      </c>
      <c r="B36" s="8">
        <f>'Retirement Solve'!B23+'Retirement Solve'!B31*Inputs!B49*12*(1-Inputs!B23)</f>
        <v/>
      </c>
    </row>
    <row r="37">
      <c r="A37" s="3" t="inlineStr">
        <is>
          <t>Refi value at market cap</t>
        </is>
      </c>
      <c r="B37" s="8">
        <f>B36/Inputs!B26</f>
        <v/>
      </c>
    </row>
    <row r="38">
      <c r="A38" s="3" t="inlineStr">
        <is>
          <t>Refi loan at 75% LTV</t>
        </is>
      </c>
      <c r="B38" s="8">
        <f>B37*0.75</f>
        <v/>
      </c>
    </row>
    <row r="39">
      <c r="A39" s="3" t="inlineStr">
        <is>
          <t>Can cash-out refi to exercise?</t>
        </is>
      </c>
      <c r="B39" s="12">
        <f>IF(B38&gt;=B35,"YES","NO")</f>
        <v/>
      </c>
    </row>
    <row r="40">
      <c r="A40" s="3" t="inlineStr">
        <is>
          <t>Master lease VIABLE?</t>
        </is>
      </c>
      <c r="B40" s="12">
        <f>IF(AND(B34&gt;0,B39="YES"),"YES","NO")</f>
        <v/>
      </c>
    </row>
    <row r="43">
      <c r="A43" s="2" t="inlineStr">
        <is>
          <t>═══ CREATIVE VERDICT ═══</t>
        </is>
      </c>
    </row>
    <row r="44">
      <c r="A44" s="3" t="inlineStr">
        <is>
          <t>Best creative structure</t>
        </is>
      </c>
      <c r="B44" s="12">
        <f>IF(B18="YES","SELLER FINANCING",IF(B27="YES","SUBJECT-TO",IF(B40="YES","MASTER LEASE","NONE")))</f>
        <v/>
      </c>
    </row>
    <row r="45">
      <c r="A45" s="3" t="inlineStr">
        <is>
          <t>Minimum out-of-pocket</t>
        </is>
      </c>
      <c r="B45" s="10">
        <f>IF(B18="YES",B7,IF(B27="YES",Inputs!B46,IF(B40="YES",B33*2,B7)))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ACQUISITION CRITERIA BOX</t>
        </is>
      </c>
      <c r="B1" s="1" t="n"/>
      <c r="C1" s="1" t="n"/>
      <c r="D1" s="1" t="n"/>
    </row>
    <row r="3">
      <c r="A3" s="15" t="inlineStr">
        <is>
          <t>Parameter</t>
        </is>
      </c>
      <c r="B3" s="15" t="inlineStr">
        <is>
          <t>Minimum</t>
        </is>
      </c>
      <c r="C3" s="15" t="inlineStr">
        <is>
          <t>Target</t>
        </is>
      </c>
      <c r="D3" s="15" t="inlineStr">
        <is>
          <t>Maximum</t>
        </is>
      </c>
    </row>
    <row r="4">
      <c r="A4" s="17" t="inlineStr">
        <is>
          <t>Unit count</t>
        </is>
      </c>
      <c r="B4" s="18">
        <f>ROUNDUP('Retirement Solve'!B31*0.7,0)</f>
        <v/>
      </c>
      <c r="C4" s="18">
        <f>'Retirement Solve'!B31</f>
        <v/>
      </c>
      <c r="D4" s="18">
        <f>ROUNDUP('Retirement Solve'!B31*1.5,0)</f>
        <v/>
      </c>
    </row>
    <row r="5">
      <c r="A5" s="17" t="inlineStr">
        <is>
          <t>Purchase price</t>
        </is>
      </c>
      <c r="B5" s="19">
        <f>'Retirement Solve'!B24*0.75</f>
        <v/>
      </c>
      <c r="C5" s="19">
        <f>'Retirement Solve'!B24</f>
        <v/>
      </c>
      <c r="D5" s="19">
        <f>'Retirement Solve'!B24*1.15</f>
        <v/>
      </c>
    </row>
    <row r="6">
      <c r="A6" s="17" t="inlineStr">
        <is>
          <t>Going-in cap rate</t>
        </is>
      </c>
      <c r="B6" s="20">
        <f>Inputs!B26-0.005</f>
        <v/>
      </c>
      <c r="C6" s="20">
        <f>Inputs!B26</f>
        <v/>
      </c>
      <c r="D6" s="20">
        <f>Inputs!B26+0.02</f>
        <v/>
      </c>
    </row>
    <row r="7">
      <c r="A7" s="17" t="inlineStr">
        <is>
          <t>Price per unit</t>
        </is>
      </c>
      <c r="B7" s="19">
        <f>'Retirement Solve'!B24*0.75/'Retirement Solve'!B31</f>
        <v/>
      </c>
      <c r="C7" s="19">
        <f>'Retirement Solve'!B32</f>
        <v/>
      </c>
      <c r="D7" s="19">
        <f>'Retirement Solve'!B24*1.15/ROUNDUP('Retirement Solve'!B31*0.7,0)</f>
        <v/>
      </c>
    </row>
    <row r="8">
      <c r="A8" s="17" t="inlineStr">
        <is>
          <t>Price per SF</t>
        </is>
      </c>
      <c r="B8" s="19">
        <f>'Retirement Solve'!B24*0.75/('Retirement Solve'!B31*Inputs!B21)</f>
        <v/>
      </c>
      <c r="C8" s="19">
        <f>'Retirement Solve'!B24/('Retirement Solve'!B31*Inputs!B21)</f>
        <v/>
      </c>
      <c r="D8" s="19">
        <f>'Retirement Solve'!B24*1.15/(ROUNDUP('Retirement Solve'!B31*0.7,0)*Inputs!B21)</f>
        <v/>
      </c>
    </row>
    <row r="9">
      <c r="A9" s="17" t="inlineStr">
        <is>
          <t>Current occupancy</t>
        </is>
      </c>
      <c r="B9" s="20" t="inlineStr">
        <is>
          <t>80%</t>
        </is>
      </c>
      <c r="C9" s="20" t="inlineStr">
        <is>
          <t>90%</t>
        </is>
      </c>
      <c r="D9" s="20" t="inlineStr">
        <is>
          <t>—</t>
        </is>
      </c>
    </row>
    <row r="10">
      <c r="A10" s="17" t="inlineStr">
        <is>
          <t>In-place NOI</t>
        </is>
      </c>
      <c r="B10" s="19">
        <f>'Retirement Solve'!B23*0.70</f>
        <v/>
      </c>
      <c r="C10" s="19">
        <f>'Retirement Solve'!B23</f>
        <v/>
      </c>
      <c r="D10" s="19" t="inlineStr">
        <is>
          <t>—</t>
        </is>
      </c>
    </row>
    <row r="11">
      <c r="A11" s="17" t="inlineStr">
        <is>
          <t>Stabilized NOI (post-reno)</t>
        </is>
      </c>
      <c r="B11" s="19">
        <f>'Retirement Solve'!B23</f>
        <v/>
      </c>
      <c r="C11" s="19">
        <f>'Retirement Solve'!B23*1.20</f>
        <v/>
      </c>
      <c r="D11" s="19" t="inlineStr">
        <is>
          <t>—</t>
        </is>
      </c>
    </row>
    <row r="12">
      <c r="A12" s="17" t="inlineStr">
        <is>
          <t>Rent upside/unit (monthly)</t>
        </is>
      </c>
      <c r="B12" s="19" t="inlineStr">
        <is>
          <t>$100</t>
        </is>
      </c>
      <c r="C12" s="19">
        <f>Inputs!B49</f>
        <v/>
      </c>
      <c r="D12" s="19" t="inlineStr">
        <is>
          <t>—</t>
        </is>
      </c>
    </row>
    <row r="13">
      <c r="A13" s="17" t="inlineStr">
        <is>
          <t>Total capex budget</t>
        </is>
      </c>
      <c r="B13" s="19">
        <f>'Retirement Solve'!B31*Inputs!B48*0.5</f>
        <v/>
      </c>
      <c r="C13" s="19">
        <f>'Retirement Solve'!B31*Inputs!B48</f>
        <v/>
      </c>
      <c r="D13" s="19">
        <f>'Retirement Solve'!B31*Inputs!B48*1.5</f>
        <v/>
      </c>
    </row>
    <row r="14">
      <c r="A14" s="17" t="inlineStr">
        <is>
          <t>Capex per unit</t>
        </is>
      </c>
      <c r="B14" s="19">
        <f>Inputs!B48*0.5</f>
        <v/>
      </c>
      <c r="C14" s="19">
        <f>Inputs!B48</f>
        <v/>
      </c>
      <c r="D14" s="19">
        <f>Inputs!B48*1.5</f>
        <v/>
      </c>
    </row>
    <row r="15">
      <c r="A15" s="17" t="inlineStr">
        <is>
          <t>Year 1 Cash-on-Cash</t>
        </is>
      </c>
      <c r="B15" s="20">
        <f>Inputs!B6*0.8</f>
        <v/>
      </c>
      <c r="C15" s="20">
        <f>Inputs!B6</f>
        <v/>
      </c>
      <c r="D15" s="20" t="inlineStr">
        <is>
          <t>—</t>
        </is>
      </c>
    </row>
    <row r="16">
      <c r="A16" s="17" t="inlineStr">
        <is>
          <t>5-Year IRR (levered)</t>
        </is>
      </c>
      <c r="B16" s="20" t="inlineStr">
        <is>
          <t>14%</t>
        </is>
      </c>
      <c r="C16" s="20" t="inlineStr">
        <is>
          <t>18%</t>
        </is>
      </c>
      <c r="D16" s="20" t="inlineStr">
        <is>
          <t>—</t>
        </is>
      </c>
    </row>
    <row r="17">
      <c r="A17" s="17" t="inlineStr">
        <is>
          <t>Exit cap rate</t>
        </is>
      </c>
      <c r="B17" s="20">
        <f>Inputs!B27-0.005</f>
        <v/>
      </c>
      <c r="C17" s="20">
        <f>Inputs!B27</f>
        <v/>
      </c>
      <c r="D17" s="20">
        <f>Inputs!B27+0.015</f>
        <v/>
      </c>
    </row>
    <row r="18">
      <c r="A18" s="17" t="inlineStr">
        <is>
          <t>Max OOP (creative)</t>
        </is>
      </c>
      <c r="B18" s="19" t="inlineStr">
        <is>
          <t>$0</t>
        </is>
      </c>
      <c r="C18" s="19">
        <f>Inputs!B46</f>
        <v/>
      </c>
      <c r="D18" s="19">
        <f>Inputs!B46*3</f>
        <v/>
      </c>
    </row>
    <row r="19">
      <c r="A19" s="17" t="inlineStr">
        <is>
          <t>Capital raise (syndication)</t>
        </is>
      </c>
      <c r="B19" s="19">
        <f>'Investor Analysis'!B7*0.8</f>
        <v/>
      </c>
      <c r="C19" s="19">
        <f>'Investor Analysis'!B7</f>
        <v/>
      </c>
      <c r="D19" s="19">
        <f>'Investor Analysis'!B7*1.3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SCENARIO &amp; SENSITIVITY ANALYSIS</t>
        </is>
      </c>
      <c r="B1" s="1" t="n"/>
      <c r="C1" s="1" t="n"/>
      <c r="D1" s="1" t="n"/>
      <c r="E1" s="1" t="n"/>
    </row>
    <row r="3">
      <c r="A3" s="2" t="inlineStr">
        <is>
          <t>SCENARIO PARAMETERS</t>
        </is>
      </c>
    </row>
    <row r="4">
      <c r="A4" s="15" t="inlineStr">
        <is>
          <t>Parameter</t>
        </is>
      </c>
      <c r="B4" s="15" t="inlineStr">
        <is>
          <t>BULL</t>
        </is>
      </c>
      <c r="C4" s="15" t="inlineStr">
        <is>
          <t>BASE</t>
        </is>
      </c>
      <c r="D4" s="15" t="inlineStr">
        <is>
          <t>BEAR</t>
        </is>
      </c>
      <c r="E4" s="15" t="inlineStr">
        <is>
          <t>CATASTROPHE</t>
        </is>
      </c>
    </row>
    <row r="5">
      <c r="A5" t="inlineStr">
        <is>
          <t>Rent growth override</t>
        </is>
      </c>
      <c r="B5" t="inlineStr">
        <is>
          <t>4.0%</t>
        </is>
      </c>
      <c r="C5" t="inlineStr">
        <is>
          <t>3.0%</t>
        </is>
      </c>
      <c r="D5" t="inlineStr">
        <is>
          <t>0.5%</t>
        </is>
      </c>
      <c r="E5" t="inlineStr">
        <is>
          <t>-1.0%</t>
        </is>
      </c>
    </row>
    <row r="6">
      <c r="A6" t="inlineStr">
        <is>
          <t>Value-add achieved</t>
        </is>
      </c>
      <c r="B6" t="inlineStr">
        <is>
          <t>100%</t>
        </is>
      </c>
      <c r="C6" t="inlineStr">
        <is>
          <t>80%</t>
        </is>
      </c>
      <c r="D6" t="inlineStr">
        <is>
          <t>50%</t>
        </is>
      </c>
      <c r="E6" t="inlineStr">
        <is>
          <t>30%</t>
        </is>
      </c>
    </row>
    <row r="7">
      <c r="A7" t="inlineStr">
        <is>
          <t>Exit cap rate</t>
        </is>
      </c>
      <c r="B7" t="inlineStr">
        <is>
          <t>6.0%</t>
        </is>
      </c>
      <c r="C7" t="inlineStr">
        <is>
          <t>7.0%</t>
        </is>
      </c>
      <c r="D7" t="inlineStr">
        <is>
          <t>8.5%</t>
        </is>
      </c>
      <c r="E7" t="inlineStr">
        <is>
          <t>9.5%</t>
        </is>
      </c>
    </row>
    <row r="8">
      <c r="A8" t="inlineStr">
        <is>
          <t>Vacancy override</t>
        </is>
      </c>
      <c r="B8" t="inlineStr">
        <is>
          <t>5.0%</t>
        </is>
      </c>
      <c r="C8" t="inlineStr">
        <is>
          <t>7.0%</t>
        </is>
      </c>
      <c r="D8" t="inlineStr">
        <is>
          <t>10.0%</t>
        </is>
      </c>
      <c r="E8" t="inlineStr">
        <is>
          <t>14.0%</t>
        </is>
      </c>
    </row>
    <row r="9">
      <c r="A9" t="inlineStr">
        <is>
          <t>Rate change at refi</t>
        </is>
      </c>
      <c r="B9" t="inlineStr">
        <is>
          <t>-0.5%</t>
        </is>
      </c>
      <c r="C9" t="inlineStr">
        <is>
          <t>0.0%</t>
        </is>
      </c>
      <c r="D9" t="inlineStr">
        <is>
          <t>+1.0%</t>
        </is>
      </c>
      <c r="E9" t="inlineStr">
        <is>
          <t>+2.0%</t>
        </is>
      </c>
    </row>
    <row r="12">
      <c r="A12" s="2" t="inlineStr">
        <is>
          <t>SCENARIO RESULTS (5-Year Hold)</t>
        </is>
      </c>
    </row>
    <row r="13">
      <c r="A13" s="15" t="inlineStr">
        <is>
          <t>Metric</t>
        </is>
      </c>
      <c r="B13" s="15" t="inlineStr">
        <is>
          <t>BULL</t>
        </is>
      </c>
      <c r="C13" s="15" t="inlineStr">
        <is>
          <t>BASE</t>
        </is>
      </c>
      <c r="D13" s="15" t="inlineStr">
        <is>
          <t>BEAR</t>
        </is>
      </c>
      <c r="E13" s="15" t="inlineStr">
        <is>
          <t>CATASTROPHE</t>
        </is>
      </c>
    </row>
    <row r="14">
      <c r="A14" s="3" t="inlineStr">
        <is>
          <t>NOI at Exit</t>
        </is>
      </c>
      <c r="B14" s="8">
        <f>'Retirement Solve'!B23*(1.04)^5+'Retirement Solve'!B31*Inputs!B49*12*(1-Inputs!B23)*1.0</f>
        <v/>
      </c>
      <c r="C14" s="8">
        <f>'Retirement Solve'!B23*(1.03)^5+'Retirement Solve'!B31*Inputs!B49*12*(1-Inputs!B23)*0.8</f>
        <v/>
      </c>
      <c r="D14" s="8">
        <f>'Retirement Solve'!B23*(1.005)^5+'Retirement Solve'!B31*Inputs!B49*12*(1-Inputs!B23)*0.5</f>
        <v/>
      </c>
      <c r="E14" s="8">
        <f>'Retirement Solve'!B23*(0.99)^5+'Retirement Solve'!B31*Inputs!B49*12*(1-Inputs!B23)*0.3</f>
        <v/>
      </c>
    </row>
    <row r="15">
      <c r="A15" s="21" t="inlineStr">
        <is>
          <t>Exit Value</t>
        </is>
      </c>
      <c r="B15" s="8">
        <f>B14/0.06</f>
        <v/>
      </c>
      <c r="C15" s="8">
        <f>C14/0.07</f>
        <v/>
      </c>
      <c r="D15" s="8">
        <f>D14/0.085</f>
        <v/>
      </c>
      <c r="E15" s="8">
        <f>E14/0.095</f>
        <v/>
      </c>
    </row>
    <row r="16">
      <c r="A16" s="21" t="inlineStr">
        <is>
          <t>Net Proceeds (after loan payoff)</t>
        </is>
      </c>
      <c r="B16" s="8">
        <f>B15*0.97-'Retirement Solve'!B25*0.90</f>
        <v/>
      </c>
      <c r="C16" s="8">
        <f>C15*0.97-'Retirement Solve'!B25*0.90</f>
        <v/>
      </c>
      <c r="D16" s="8">
        <f>D15*0.97-'Retirement Solve'!B25*0.90</f>
        <v/>
      </c>
      <c r="E16" s="8">
        <f>E15*0.97-'Retirement Solve'!B25*0.90</f>
        <v/>
      </c>
    </row>
    <row r="17">
      <c r="A17" s="21" t="inlineStr">
        <is>
          <t>Avg Annual CF</t>
        </is>
      </c>
      <c r="B17" s="8">
        <f>('Retirement Solve'!B23+B14)/2-'Retirement Solve'!B26</f>
        <v/>
      </c>
      <c r="C17" s="8">
        <f>('Retirement Solve'!B23+C14)/2-'Retirement Solve'!B26</f>
        <v/>
      </c>
      <c r="D17" s="8">
        <f>('Retirement Solve'!B23+D14)/2-'Retirement Solve'!B26</f>
        <v/>
      </c>
      <c r="E17" s="8">
        <f>('Retirement Solve'!B23+E14)/2-'Retirement Solve'!B26</f>
        <v/>
      </c>
    </row>
    <row r="18">
      <c r="A18" s="3" t="inlineStr">
        <is>
          <t>Meets Retirement Goal?</t>
        </is>
      </c>
      <c r="B18">
        <f>IF(B17*Inputs!B7&gt;=Inputs!B4/(1-Inputs!B8),"YES","NO")</f>
        <v/>
      </c>
      <c r="C18">
        <f>IF(C17*Inputs!B7&gt;=Inputs!B4/(1-Inputs!B8),"YES","NO")</f>
        <v/>
      </c>
      <c r="D18">
        <f>IF(D17*Inputs!B7&gt;=Inputs!B4/(1-Inputs!B8),"YES","NO")</f>
        <v/>
      </c>
      <c r="E18">
        <f>IF(E17*Inputs!B7&gt;=Inputs!B4/(1-Inputs!B8),"YES","NO")</f>
        <v/>
      </c>
    </row>
    <row r="19">
      <c r="A19" s="3" t="inlineStr">
        <is>
          <t>Deal Survives?</t>
        </is>
      </c>
      <c r="B19">
        <f>IF(AND(B17&gt;0,B16&gt;0),"YES","NO")</f>
        <v/>
      </c>
      <c r="C19">
        <f>IF(AND(C17&gt;0,C16&gt;0),"YES","NO")</f>
        <v/>
      </c>
      <c r="D19">
        <f>IF(AND(D17&gt;0,D16&gt;0),"YES","NO")</f>
        <v/>
      </c>
      <c r="E19">
        <f>IF(AND(E17&gt;0,E16&gt;0),"YES","NO")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0" customWidth="1" min="3" max="3"/>
  </cols>
  <sheetData>
    <row r="1">
      <c r="A1" s="1" t="inlineStr">
        <is>
          <t>DECISION FRAMEWORK — GO / NO-GO / NEGOTIATE</t>
        </is>
      </c>
      <c r="B1" s="1" t="n"/>
      <c r="C1" s="1" t="n"/>
    </row>
    <row r="3">
      <c r="A3" s="2" t="inlineStr">
        <is>
          <t>SCORECARD</t>
        </is>
      </c>
    </row>
    <row r="4">
      <c r="A4" s="15" t="inlineStr">
        <is>
          <t>Criterion</t>
        </is>
      </c>
      <c r="B4" s="15" t="inlineStr">
        <is>
          <t>Result</t>
        </is>
      </c>
      <c r="C4" s="15" t="inlineStr">
        <is>
          <t>Notes</t>
        </is>
      </c>
    </row>
    <row r="5">
      <c r="A5" s="3" t="inlineStr">
        <is>
          <t>Conventional financing viable</t>
        </is>
      </c>
      <c r="B5" s="18">
        <f>'Debt Validation'!B37</f>
        <v/>
      </c>
      <c r="C5" t="inlineStr">
        <is>
          <t>Requires positive spread + DSCR &gt;= 1.25x</t>
        </is>
      </c>
    </row>
    <row r="6">
      <c r="A6" s="3" t="inlineStr">
        <is>
          <t>Investor marketability grade</t>
        </is>
      </c>
      <c r="B6" s="18">
        <f>IF('Investor Analysis'!B7&gt;0,"MARKETABLE","NOT MARKETABLE")</f>
        <v/>
      </c>
      <c r="C6" t="inlineStr">
        <is>
          <t>Needs 8%+ pref, 2.0x multiple, 17%+ IRR</t>
        </is>
      </c>
    </row>
    <row r="7">
      <c r="A7" s="3" t="inlineStr">
        <is>
          <t>Creative structure available</t>
        </is>
      </c>
      <c r="B7" s="18">
        <f>'Creative Financing'!B44</f>
        <v/>
      </c>
      <c r="C7" t="inlineStr">
        <is>
          <t>Seller finance, sub-to, or master lease</t>
        </is>
      </c>
    </row>
    <row r="8">
      <c r="A8" s="3" t="inlineStr">
        <is>
          <t>Bear case survives</t>
        </is>
      </c>
      <c r="B8" s="18">
        <f>Scenarios!D19</f>
        <v/>
      </c>
      <c r="C8" t="inlineStr">
        <is>
          <t>Positive CF and equity at exit in bear scenario</t>
        </is>
      </c>
    </row>
    <row r="9">
      <c r="A9" s="3" t="inlineStr">
        <is>
          <t>Catastrophe survival</t>
        </is>
      </c>
      <c r="B9" s="18">
        <f>Scenarios!E19</f>
        <v/>
      </c>
      <c r="C9" t="inlineStr">
        <is>
          <t>Can survive rate spike + rent decline</t>
        </is>
      </c>
    </row>
    <row r="10">
      <c r="A10" s="3" t="inlineStr">
        <is>
          <t>Meets retirement goal (base)</t>
        </is>
      </c>
      <c r="B10" s="18">
        <f>Scenarios!C18</f>
        <v/>
      </c>
      <c r="C10" t="inlineStr">
        <is>
          <t>Cash flow * num properties &gt;= income target</t>
        </is>
      </c>
    </row>
    <row r="13">
      <c r="A13" s="22" t="inlineStr">
        <is>
          <t>═══ FINAL DECISION ═══</t>
        </is>
      </c>
    </row>
    <row r="14">
      <c r="A14" t="inlineStr">
        <is>
          <t>DECISION:</t>
        </is>
      </c>
      <c r="B14" s="12">
        <f>IF(AND(B5="CONVENTIONAL FINANCING VIABLE",B8="YES",B10="YES"),"GO (CONVENTIONAL)",IF(AND(OR(B7&lt;&gt;"NONE",B5="CONVENTIONAL FINANCING VIABLE"),B8="YES"),"GO (CREATIVE)",IF(AND(B8="NO",Scenarios!C19="YES"),"NEGOTIATE — Need price reduction for safety margin","NO-GO — Pass on this deal")))</f>
        <v/>
      </c>
    </row>
    <row r="16">
      <c r="A16" s="2" t="inlineStr">
        <is>
          <t>DECISION DEFINITIONS:</t>
        </is>
      </c>
    </row>
    <row r="17">
      <c r="A17" t="inlineStr">
        <is>
          <t>GO (CONVENTIONAL): Deal hits all metrics with standard agency debt + investor raise</t>
        </is>
      </c>
    </row>
    <row r="18">
      <c r="A18" t="inlineStr">
        <is>
          <t>GO (CREATIVE): Deal requires creative structure but math works and seller profile fits</t>
        </is>
      </c>
    </row>
    <row r="19">
      <c r="A19" t="inlineStr">
        <is>
          <t>NEGOTIATE: Deal works at lower price or with seller concession — counter required</t>
        </is>
      </c>
    </row>
    <row r="20">
      <c r="A20" t="inlineStr">
        <is>
          <t>NO-GO: Spread too thin, returns don't justify risk, can't market to investors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2026-08-07T07:16:51Z</dcterms:created>
  <dcterms:modified xsi:type="dcterms:W3CDTF">2026-08-07T07:16:51Z</dcterms:modified>
</cp:coreProperties>
</file>